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2" firstSheet="0" activeTab="0"/>
  </bookViews>
  <sheets>
    <sheet name="costos_de_operacion_y_mantenimiento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<sst xmlns="http://schemas.openxmlformats.org/spreadsheetml/2006/main" count="16" uniqueCount="16">
  <si>
    <t xml:space="preserve">central</t>
  </si>
  <si>
    <t xml:space="preserve">bruta</t>
  </si>
  <si>
    <t xml:space="preserve">neta</t>
  </si>
  <si>
    <t xml:space="preserve">fijo</t>
  </si>
  <si>
    <t xml:space="preserve">variable</t>
  </si>
  <si>
    <t xml:space="preserve">total</t>
  </si>
  <si>
    <t xml:space="preserve">Termoeléctricaconvencional</t>
  </si>
  <si>
    <t xml:space="preserve">Turbogásaeroderivadagas</t>
  </si>
  <si>
    <t xml:space="preserve">Ciclocombinadogas</t>
  </si>
  <si>
    <t xml:space="preserve">Combustióninterna</t>
  </si>
  <si>
    <t xml:space="preserve">Carboeléctricasin</t>
  </si>
  <si>
    <t xml:space="preserve">NuclearBWR</t>
  </si>
  <si>
    <t xml:space="preserve">2/GeotermCerroPrieto</t>
  </si>
  <si>
    <t xml:space="preserve">ElCajón2375.0</t>
  </si>
  <si>
    <t xml:space="preserve">Eólicaclasedeiento</t>
  </si>
  <si>
    <t xml:space="preserve">Solarfotovoltaica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</si>
</sst>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4" activeCellId="0" sqref="A:F"/>
    </sheetView>
  </sheetViews>
  <sheetFormatPr defaultRowHeight="12.8"/>
  <cols>
    <col collapsed="false" hidden="false" max="1" min="1" style="0" width="23.8010204081633"/>
    <col collapsed="false" hidden="false" max="2" min="2" style="0" width="8.51530612244898"/>
    <col collapsed="false" hidden="false" max="3" min="3" style="0" width="6.98469387755102"/>
    <col collapsed="false" hidden="false" max="4" min="4" style="0" width="10.5561224489796"/>
    <col collapsed="false" hidden="false" max="5" min="5" style="0" width="14.3112244897959"/>
    <col collapsed="false" hidden="false" max="7" min="6" style="0" width="12.780612244898"/>
    <col collapsed="false" hidden="false" max="9" min="8" style="0" width="6.01020408163265"/>
    <col collapsed="false" hidden="false" max="10" min="10" style="0" width="5.04081632653061"/>
    <col collapsed="false" hidden="false" max="1025" min="11" style="0" width="11.5204081632653"/>
  </cols>
  <sheetData>
    <row r="1" customFormat="false" ht="12.8" hidden="false" customHeight="false" outlineLevel="0" collapsed="false">
      <c r="A1" s="0" t="s">
        <v>0</v>
      </c>
      <c r="C1" s="0" t="s">
        <v>1</v>
      </c>
      <c r="D1" s="0" t="s">
        <v>2</v>
      </c>
      <c r="E1" s="0" t="s">
        <v>3</v>
      </c>
      <c r="G1" s="0" t="s">
        <v>4</v>
      </c>
      <c r="H1" s="0" t="s">
        <v>5</v>
      </c>
    </row>
    <row r="2" customFormat="false" ht="12.8" hidden="false" customHeight="false" outlineLevel="0" collapsed="false">
      <c r="A2" s="0" t="s">
        <v>6</v>
      </c>
      <c r="C2" s="0" t="n">
        <v>350</v>
      </c>
      <c r="D2" s="0" t="n">
        <v>333.7</v>
      </c>
      <c r="E2" s="0" t="n">
        <v>28477</v>
      </c>
      <c r="G2" s="0" t="n">
        <v>2.2</v>
      </c>
      <c r="H2" s="0" t="n">
        <v>6.53</v>
      </c>
    </row>
    <row r="3" customFormat="false" ht="12.8" hidden="false" customHeight="false" outlineLevel="0" collapsed="false">
      <c r="C3" s="0" t="n">
        <v>160</v>
      </c>
      <c r="D3" s="0" t="n">
        <v>149.8</v>
      </c>
      <c r="E3" s="0" t="n">
        <v>35183</v>
      </c>
      <c r="F3" s="0" t="n">
        <f aca="false">AVERAGE(E2:E4)</f>
        <v>35971.3333333333</v>
      </c>
      <c r="G3" s="0" t="n">
        <v>3.13</v>
      </c>
      <c r="H3" s="0" t="n">
        <v>9.31</v>
      </c>
    </row>
    <row r="4" customFormat="false" ht="12.8" hidden="false" customHeight="false" outlineLevel="0" collapsed="false">
      <c r="C4" s="0" t="n">
        <v>80</v>
      </c>
      <c r="D4" s="0" t="n">
        <v>75</v>
      </c>
      <c r="E4" s="0" t="n">
        <v>44254</v>
      </c>
      <c r="G4" s="0" t="n">
        <v>3.94</v>
      </c>
      <c r="H4" s="0" t="n">
        <v>11.71</v>
      </c>
    </row>
    <row r="6" customFormat="false" ht="12.8" hidden="false" customHeight="false" outlineLevel="0" collapsed="false">
      <c r="A6" s="0" t="s">
        <v>7</v>
      </c>
      <c r="C6" s="0" t="n">
        <v>44.7</v>
      </c>
      <c r="D6" s="0" t="n">
        <v>43.6</v>
      </c>
      <c r="E6" s="0" t="n">
        <v>21357</v>
      </c>
      <c r="G6" s="0" t="n">
        <v>3.19</v>
      </c>
      <c r="H6" s="0" t="n">
        <v>22.69</v>
      </c>
    </row>
    <row r="7" customFormat="false" ht="12.8" hidden="false" customHeight="false" outlineLevel="0" collapsed="false">
      <c r="C7" s="0" t="n">
        <v>103.5</v>
      </c>
      <c r="D7" s="0" t="n">
        <v>100.5</v>
      </c>
      <c r="E7" s="0" t="n">
        <v>10792</v>
      </c>
      <c r="G7" s="0" t="n">
        <v>4.12</v>
      </c>
      <c r="H7" s="0" t="n">
        <v>13.98</v>
      </c>
    </row>
    <row r="8" customFormat="false" ht="12.8" hidden="false" customHeight="false" outlineLevel="0" collapsed="false">
      <c r="C8" s="0" t="n">
        <v>88.8</v>
      </c>
      <c r="D8" s="0" t="n">
        <v>87.8</v>
      </c>
      <c r="E8" s="0" t="n">
        <v>8517</v>
      </c>
      <c r="F8" s="0" t="n">
        <f aca="false">AVERAGE(E6:E13)</f>
        <v>10956.75</v>
      </c>
      <c r="G8" s="0" t="n">
        <v>4.19</v>
      </c>
      <c r="H8" s="0" t="n">
        <v>11.97</v>
      </c>
    </row>
    <row r="9" customFormat="false" ht="12.8" hidden="false" customHeight="false" outlineLevel="0" collapsed="false">
      <c r="C9" s="0" t="n">
        <v>186.5</v>
      </c>
      <c r="D9" s="0" t="n">
        <v>184.5</v>
      </c>
      <c r="E9" s="0" t="n">
        <v>7102</v>
      </c>
      <c r="G9" s="0" t="n">
        <v>3.2</v>
      </c>
      <c r="H9" s="0" t="n">
        <v>9.69</v>
      </c>
    </row>
    <row r="10" customFormat="false" ht="12.8" hidden="false" customHeight="false" outlineLevel="0" collapsed="false">
      <c r="C10" s="0" t="n">
        <v>275.6</v>
      </c>
      <c r="D10" s="0" t="n">
        <v>272.7</v>
      </c>
      <c r="E10" s="0" t="n">
        <v>6749</v>
      </c>
      <c r="G10" s="0" t="n">
        <v>3.04</v>
      </c>
      <c r="H10" s="0" t="n">
        <v>9.2</v>
      </c>
    </row>
    <row r="11" customFormat="false" ht="12.8" hidden="false" customHeight="false" outlineLevel="0" collapsed="false">
      <c r="C11" s="0" t="n">
        <v>280.4</v>
      </c>
      <c r="D11" s="0" t="n">
        <v>277.6</v>
      </c>
      <c r="E11" s="0" t="n">
        <v>6639</v>
      </c>
      <c r="G11" s="0" t="n">
        <v>3.01</v>
      </c>
      <c r="H11" s="0" t="n">
        <v>9.07</v>
      </c>
    </row>
    <row r="12" customFormat="false" ht="12.8" hidden="false" customHeight="false" outlineLevel="0" collapsed="false">
      <c r="C12" s="0" t="n">
        <v>319</v>
      </c>
      <c r="D12" s="0" t="n">
        <v>315.7</v>
      </c>
      <c r="E12" s="0" t="n">
        <v>6440</v>
      </c>
      <c r="G12" s="0" t="n">
        <v>3.13</v>
      </c>
      <c r="H12" s="0" t="n">
        <v>9.01</v>
      </c>
    </row>
    <row r="13" customFormat="false" ht="12.8" hidden="false" customHeight="false" outlineLevel="0" collapsed="false">
      <c r="C13" s="0" t="n">
        <v>42.3</v>
      </c>
      <c r="D13" s="0" t="n">
        <v>41.6</v>
      </c>
      <c r="E13" s="0" t="n">
        <v>20058</v>
      </c>
      <c r="G13" s="0" t="n">
        <v>3.08</v>
      </c>
      <c r="H13" s="0" t="n">
        <v>21.4</v>
      </c>
    </row>
    <row r="15" customFormat="false" ht="12.8" hidden="false" customHeight="false" outlineLevel="0" collapsed="false">
      <c r="A15" s="0" t="s">
        <v>8</v>
      </c>
      <c r="C15" s="0" t="n">
        <v>114.4</v>
      </c>
      <c r="D15" s="0" t="n">
        <v>110.8</v>
      </c>
      <c r="E15" s="0" t="n">
        <v>24585</v>
      </c>
      <c r="G15" s="0" t="n">
        <v>4.43</v>
      </c>
      <c r="H15" s="0" t="n">
        <v>7.94</v>
      </c>
    </row>
    <row r="16" customFormat="false" ht="12.8" hidden="false" customHeight="false" outlineLevel="0" collapsed="false">
      <c r="C16" s="0" t="n">
        <v>285.7</v>
      </c>
      <c r="D16" s="0" t="n">
        <v>278.3</v>
      </c>
      <c r="E16" s="0" t="n">
        <v>17314</v>
      </c>
      <c r="G16" s="0" t="n">
        <v>3.02</v>
      </c>
      <c r="H16" s="0" t="n">
        <v>5.49</v>
      </c>
    </row>
    <row r="17" customFormat="false" ht="12.8" hidden="false" customHeight="false" outlineLevel="0" collapsed="false">
      <c r="C17" s="0" t="n">
        <v>575.1</v>
      </c>
      <c r="D17" s="0" t="n">
        <v>559.9</v>
      </c>
      <c r="E17" s="0" t="n">
        <v>16980</v>
      </c>
      <c r="G17" s="0" t="n">
        <v>2.96</v>
      </c>
      <c r="H17" s="0" t="n">
        <v>5.38</v>
      </c>
    </row>
    <row r="18" customFormat="false" ht="12.8" hidden="false" customHeight="false" outlineLevel="0" collapsed="false">
      <c r="C18" s="0" t="n">
        <v>864.6</v>
      </c>
      <c r="D18" s="0" t="n">
        <v>841</v>
      </c>
      <c r="E18" s="0" t="n">
        <v>16367</v>
      </c>
      <c r="F18" s="0" t="n">
        <f aca="false">AVERAGE(E15:E24)</f>
        <v>16793.2</v>
      </c>
      <c r="G18" s="0" t="n">
        <v>2.88</v>
      </c>
      <c r="H18" s="0" t="n">
        <v>5.22</v>
      </c>
    </row>
    <row r="19" customFormat="false" ht="12.8" hidden="false" customHeight="false" outlineLevel="0" collapsed="false">
      <c r="C19" s="0" t="n">
        <v>408.5</v>
      </c>
      <c r="D19" s="0" t="n">
        <v>396.2</v>
      </c>
      <c r="E19" s="0" t="n">
        <v>15553</v>
      </c>
      <c r="G19" s="0" t="n">
        <v>2.73</v>
      </c>
      <c r="H19" s="0" t="n">
        <v>4.95</v>
      </c>
    </row>
    <row r="20" customFormat="false" ht="12.8" hidden="false" customHeight="false" outlineLevel="0" collapsed="false">
      <c r="C20" s="0" t="n">
        <v>823.8</v>
      </c>
      <c r="D20" s="0" t="n">
        <v>798</v>
      </c>
      <c r="E20" s="0" t="n">
        <v>15741</v>
      </c>
      <c r="G20" s="0" t="n">
        <v>2.77</v>
      </c>
      <c r="H20" s="0" t="n">
        <v>5.01</v>
      </c>
    </row>
    <row r="21" customFormat="false" ht="12.8" hidden="false" customHeight="false" outlineLevel="0" collapsed="false">
      <c r="C21" s="0" t="n">
        <v>413.4</v>
      </c>
      <c r="D21" s="0" t="n">
        <v>402.2</v>
      </c>
      <c r="E21" s="0" t="n">
        <v>15471</v>
      </c>
      <c r="G21" s="0" t="n">
        <v>2.73</v>
      </c>
      <c r="H21" s="0" t="n">
        <v>4.93</v>
      </c>
    </row>
    <row r="22" customFormat="false" ht="12.8" hidden="false" customHeight="false" outlineLevel="0" collapsed="false">
      <c r="C22" s="0" t="n">
        <v>833.6</v>
      </c>
      <c r="D22" s="0" t="n">
        <v>809.9</v>
      </c>
      <c r="E22" s="0" t="n">
        <v>15512</v>
      </c>
      <c r="G22" s="0" t="n">
        <v>2.73</v>
      </c>
      <c r="H22" s="0" t="n">
        <v>4.94</v>
      </c>
    </row>
    <row r="23" customFormat="false" ht="12.8" hidden="false" customHeight="false" outlineLevel="0" collapsed="false">
      <c r="C23" s="0" t="n">
        <v>460.9</v>
      </c>
      <c r="D23" s="0" t="n">
        <v>447.6</v>
      </c>
      <c r="E23" s="0" t="n">
        <v>15380</v>
      </c>
      <c r="G23" s="0" t="n">
        <v>2.72</v>
      </c>
      <c r="H23" s="0" t="n">
        <v>4.91</v>
      </c>
    </row>
    <row r="24" customFormat="false" ht="12.8" hidden="false" customHeight="false" outlineLevel="0" collapsed="false">
      <c r="C24" s="0" t="n">
        <v>929.7</v>
      </c>
      <c r="D24" s="0" t="n">
        <v>901.7</v>
      </c>
      <c r="E24" s="0" t="n">
        <v>15029</v>
      </c>
      <c r="G24" s="0" t="n">
        <v>2.69</v>
      </c>
      <c r="H24" s="0" t="n">
        <v>4.83</v>
      </c>
    </row>
    <row r="26" customFormat="false" ht="12.8" hidden="false" customHeight="false" outlineLevel="0" collapsed="false">
      <c r="A26" s="0" t="s">
        <v>9</v>
      </c>
      <c r="C26" s="0" t="n">
        <v>44</v>
      </c>
      <c r="D26" s="0" t="n">
        <v>42.4</v>
      </c>
      <c r="E26" s="0" t="n">
        <v>61852</v>
      </c>
      <c r="G26" s="0" t="n">
        <v>8.01</v>
      </c>
      <c r="H26" s="0" t="n">
        <v>18.1</v>
      </c>
    </row>
    <row r="27" customFormat="false" ht="12.8" hidden="false" customHeight="false" outlineLevel="0" collapsed="false">
      <c r="C27" s="0" t="n">
        <v>3.6</v>
      </c>
      <c r="D27" s="0" t="n">
        <v>3.3</v>
      </c>
      <c r="E27" s="0" t="n">
        <v>28044</v>
      </c>
      <c r="F27" s="0" t="n">
        <f aca="false">AVERAGE(E26:E27)</f>
        <v>44948</v>
      </c>
      <c r="G27" s="0" t="n">
        <v>3.16</v>
      </c>
      <c r="H27" s="0" t="n">
        <v>8.09</v>
      </c>
    </row>
    <row r="29" customFormat="false" ht="12.8" hidden="false" customHeight="false" outlineLevel="0" collapsed="false">
      <c r="A29" s="0" t="s">
        <v>10</v>
      </c>
      <c r="C29" s="0" t="n">
        <v>350</v>
      </c>
      <c r="D29" s="0" t="n">
        <v>332.5</v>
      </c>
      <c r="E29" s="0" t="n">
        <v>32883</v>
      </c>
      <c r="G29" s="0" t="n">
        <v>2.38</v>
      </c>
      <c r="H29" s="0" t="n">
        <v>7.07</v>
      </c>
    </row>
    <row r="30" customFormat="false" ht="12.8" hidden="false" customHeight="false" outlineLevel="0" collapsed="false">
      <c r="C30" s="0" t="n">
        <v>700</v>
      </c>
      <c r="D30" s="0" t="n">
        <v>670.3</v>
      </c>
      <c r="E30" s="0" t="n">
        <v>33863</v>
      </c>
      <c r="F30" s="0" t="n">
        <f aca="false">AVERAGE(E29:E31)</f>
        <v>35885.3333333333</v>
      </c>
      <c r="G30" s="0" t="n">
        <v>2.46</v>
      </c>
      <c r="H30" s="0" t="n">
        <v>7.29</v>
      </c>
    </row>
    <row r="31" customFormat="false" ht="12.8" hidden="false" customHeight="false" outlineLevel="0" collapsed="false">
      <c r="C31" s="0" t="n">
        <v>700</v>
      </c>
      <c r="D31" s="0" t="n">
        <v>659.8</v>
      </c>
      <c r="E31" s="0" t="n">
        <v>40910</v>
      </c>
      <c r="G31" s="0" t="n">
        <v>2.97</v>
      </c>
      <c r="H31" s="0" t="n">
        <v>8.81</v>
      </c>
    </row>
    <row r="33" customFormat="false" ht="12.8" hidden="false" customHeight="false" outlineLevel="0" collapsed="false">
      <c r="A33" s="0" t="s">
        <v>11</v>
      </c>
      <c r="C33" s="0" t="n">
        <v>1400</v>
      </c>
      <c r="D33" s="0" t="n">
        <v>1351</v>
      </c>
      <c r="E33" s="0" t="n">
        <v>98000</v>
      </c>
      <c r="G33" s="0" t="n">
        <v>2.25</v>
      </c>
      <c r="H33" s="0" t="n">
        <v>14.68</v>
      </c>
    </row>
    <row r="34" customFormat="false" ht="12.8" hidden="false" customHeight="false" outlineLevel="0" collapsed="false">
      <c r="C34" s="0" t="n">
        <v>1200</v>
      </c>
      <c r="D34" s="0" t="n">
        <v>1107</v>
      </c>
      <c r="E34" s="0" t="n">
        <v>98090</v>
      </c>
      <c r="F34" s="0" t="n">
        <f aca="false">AVERAGE(E33:E34)</f>
        <v>98045</v>
      </c>
      <c r="G34" s="0" t="n">
        <v>2.25</v>
      </c>
      <c r="H34" s="0" t="n">
        <v>14.69</v>
      </c>
    </row>
    <row r="36" customFormat="false" ht="12.8" hidden="false" customHeight="false" outlineLevel="0" collapsed="false">
      <c r="A36" s="0" t="s">
        <v>12</v>
      </c>
      <c r="C36" s="0" t="n">
        <v>27</v>
      </c>
      <c r="D36" s="0" t="n">
        <v>25</v>
      </c>
      <c r="E36" s="0" t="n">
        <v>111839</v>
      </c>
      <c r="G36" s="0" t="n">
        <v>0.06</v>
      </c>
      <c r="H36" s="0" t="n">
        <v>15.08</v>
      </c>
    </row>
    <row r="37" customFormat="false" ht="12.8" hidden="false" customHeight="false" outlineLevel="0" collapsed="false">
      <c r="C37" s="0" t="n">
        <v>26.6</v>
      </c>
      <c r="D37" s="0" t="n">
        <v>25</v>
      </c>
      <c r="E37" s="0" t="n">
        <v>87118</v>
      </c>
      <c r="F37" s="0" t="n">
        <f aca="false">AVERAGE(E36:E37)</f>
        <v>99478.5</v>
      </c>
      <c r="G37" s="0" t="n">
        <v>0.06</v>
      </c>
      <c r="H37" s="0" t="n">
        <v>11.76</v>
      </c>
    </row>
    <row r="39" customFormat="false" ht="12.8" hidden="false" customHeight="false" outlineLevel="0" collapsed="false">
      <c r="A39" s="0" t="s">
        <v>13</v>
      </c>
      <c r="D39" s="0" t="n">
        <v>373.1</v>
      </c>
      <c r="E39" s="0" t="n">
        <v>25244</v>
      </c>
      <c r="G39" s="0" t="n">
        <v>0</v>
      </c>
      <c r="H39" s="0" t="n">
        <v>17.05</v>
      </c>
    </row>
    <row r="40" customFormat="false" ht="12.8" hidden="false" customHeight="false" outlineLevel="0" collapsed="false">
      <c r="C40" s="0" t="n">
        <v>81.2</v>
      </c>
      <c r="D40" s="0" t="n">
        <v>80</v>
      </c>
      <c r="E40" s="0" t="n">
        <v>17846</v>
      </c>
      <c r="G40" s="0" t="n">
        <v>0</v>
      </c>
      <c r="H40" s="0" t="n">
        <v>6.79</v>
      </c>
    </row>
    <row r="41" customFormat="false" ht="12.8" hidden="false" customHeight="false" outlineLevel="0" collapsed="false">
      <c r="C41" s="0" t="n">
        <v>35.5</v>
      </c>
      <c r="D41" s="0" t="n">
        <v>35</v>
      </c>
      <c r="E41" s="0" t="n">
        <v>30576</v>
      </c>
      <c r="F41" s="0" t="n">
        <f aca="false">AVERAGE(E39:E41)</f>
        <v>24555.3333333333</v>
      </c>
      <c r="G41" s="0" t="n">
        <v>0</v>
      </c>
      <c r="H41" s="0" t="n">
        <v>11.63</v>
      </c>
    </row>
    <row r="43" customFormat="false" ht="12.8" hidden="false" customHeight="false" outlineLevel="0" collapsed="false">
      <c r="A43" s="0" t="s">
        <v>14</v>
      </c>
      <c r="C43" s="0" t="n">
        <v>2</v>
      </c>
      <c r="D43" s="0" t="n">
        <v>2</v>
      </c>
      <c r="E43" s="0" t="n">
        <v>24963</v>
      </c>
      <c r="G43" s="0" t="n">
        <v>0</v>
      </c>
      <c r="H43" s="0" t="n">
        <v>8.14</v>
      </c>
    </row>
    <row r="44" customFormat="false" ht="12.8" hidden="false" customHeight="false" outlineLevel="0" collapsed="false">
      <c r="C44" s="0" t="n">
        <v>2</v>
      </c>
      <c r="D44" s="0" t="n">
        <v>2</v>
      </c>
      <c r="E44" s="0" t="n">
        <v>24963</v>
      </c>
      <c r="F44" s="0" t="n">
        <f aca="false">AVERAGE(E43:E44)</f>
        <v>24963</v>
      </c>
      <c r="G44" s="0" t="n">
        <v>0</v>
      </c>
      <c r="H44" s="0" t="n">
        <v>7.12</v>
      </c>
    </row>
    <row r="46" customFormat="false" ht="12.8" hidden="false" customHeight="false" outlineLevel="0" collapsed="false">
      <c r="A46" s="0" t="s">
        <v>15</v>
      </c>
      <c r="C46" s="0" t="n">
        <v>60</v>
      </c>
      <c r="D46" s="0" t="n">
        <v>59.9</v>
      </c>
      <c r="E46" s="0" t="n">
        <v>19000</v>
      </c>
      <c r="F46" s="0" t="n">
        <f aca="false">AVERAGE(E46)</f>
        <v>19000</v>
      </c>
      <c r="G46" s="0" t="n">
        <v>0</v>
      </c>
      <c r="H46" s="0" t="n">
        <v>10.84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LibreOffice/5.1.4.2$Linux_X86_64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2016-08-11T20:44:33Z</dcterms:modified>
  <cp:revision>2</cp:revision>
  <dc:subject/>
  <dc:title/>
</cp:coreProperties>
</file>